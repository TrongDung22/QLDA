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5twl-my.sharepoint.com/personal/zungb3_y5twl_onmicrosoft_com/Documents/Desktop/"/>
    </mc:Choice>
  </mc:AlternateContent>
  <xr:revisionPtr revIDLastSave="115" documentId="8_{0EC9CBD1-F6E7-42A8-AA87-DFD803A39399}" xr6:coauthVersionLast="47" xr6:coauthVersionMax="47" xr10:uidLastSave="{7ACB9B21-E778-490B-AE55-583B6D69D08C}"/>
  <bookViews>
    <workbookView xWindow="-110" yWindow="-110" windowWidth="25820" windowHeight="16220" activeTab="3" xr2:uid="{9F2FFEEC-B397-4E54-BCFA-081F87246237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2" i="3"/>
  <c r="E4" i="3"/>
  <c r="E5" i="3" s="1"/>
  <c r="E3" i="3"/>
  <c r="E2" i="3"/>
  <c r="D5" i="3"/>
  <c r="D4" i="3"/>
  <c r="D3" i="3"/>
  <c r="D2" i="3"/>
  <c r="B16" i="2"/>
  <c r="F11" i="2"/>
  <c r="F6" i="2"/>
  <c r="E14" i="2"/>
  <c r="D14" i="2"/>
  <c r="C14" i="2"/>
  <c r="B14" i="2"/>
  <c r="C13" i="2"/>
  <c r="D13" i="2"/>
  <c r="E13" i="2"/>
  <c r="B13" i="2"/>
  <c r="C11" i="2"/>
  <c r="D11" i="2"/>
  <c r="E11" i="2"/>
  <c r="B11" i="2"/>
  <c r="C6" i="2"/>
  <c r="D6" i="2"/>
  <c r="E6" i="2"/>
  <c r="B6" i="2"/>
  <c r="B16" i="1"/>
  <c r="B7" i="1"/>
</calcChain>
</file>

<file path=xl/sharedStrings.xml><?xml version="1.0" encoding="utf-8"?>
<sst xmlns="http://schemas.openxmlformats.org/spreadsheetml/2006/main" count="39" uniqueCount="26">
  <si>
    <t>YEAR 1</t>
  </si>
  <si>
    <t>YEAR 2</t>
  </si>
  <si>
    <t>YEAR 3</t>
  </si>
  <si>
    <t>YEAR 4</t>
  </si>
  <si>
    <t>YEAR 5</t>
  </si>
  <si>
    <t>Discount rate</t>
  </si>
  <si>
    <t>PROJECT 1</t>
  </si>
  <si>
    <t>Benefits</t>
  </si>
  <si>
    <t>Cost</t>
  </si>
  <si>
    <t>Cash flow</t>
  </si>
  <si>
    <t>PROJECT 2</t>
  </si>
  <si>
    <t>NPV</t>
  </si>
  <si>
    <r>
      <t>Discount rate</t>
    </r>
    <r>
      <rPr>
        <sz val="11"/>
        <color theme="1"/>
        <rFont val="Arial"/>
        <family val="2"/>
        <scheme val="minor"/>
      </rPr>
      <t xml:space="preserve"> </t>
    </r>
  </si>
  <si>
    <t>Costs</t>
  </si>
  <si>
    <t>Discounted Cost</t>
  </si>
  <si>
    <t>Discounted benefits</t>
  </si>
  <si>
    <t>Discounted benefits - cost</t>
  </si>
  <si>
    <t>Cumulative benefits - cost</t>
  </si>
  <si>
    <t>ROI</t>
  </si>
  <si>
    <t xml:space="preserve">Discount factor </t>
  </si>
  <si>
    <t>Total</t>
  </si>
  <si>
    <t>Year</t>
  </si>
  <si>
    <t>Cum Costs</t>
  </si>
  <si>
    <t>Cum Benefits</t>
  </si>
  <si>
    <t>Ròng</t>
  </si>
  <si>
    <t>thời gian hòa vốn (Payback)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</si>
</sst>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8" formatCode="[$$-409]#,##0.00"/>
    <numFmt numFmtId="176" formatCode="_-[$$-409]* #,##0.00_ ;_-[$$-409]* \-#,##0.00\ ;_-[$$-409]* &quot;-&quot;??_ ;_-@_ 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1B1C1D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ont="1" applyAlignment="1">
      <alignment horizontal="left" vertical="top"/>
    </xf>
    <xf numFmtId="0" fontId="3" fillId="0" borderId="0" xfId="0" applyFont="1" applyBorder="1" applyAlignment="1">
      <alignment horizontal="left" vertical="top" wrapText="1" readingOrder="1"/>
    </xf>
    <xf numFmtId="0" fontId="0" fillId="0" borderId="0" xfId="0" applyFont="1" applyBorder="1" applyAlignment="1">
      <alignment horizontal="left" vertical="top"/>
    </xf>
    <xf numFmtId="9" fontId="3" fillId="0" borderId="0" xfId="0" applyNumberFormat="1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0" fillId="0" borderId="1" xfId="0" applyFont="1" applyBorder="1" applyAlignment="1">
      <alignment horizontal="left" vertical="top"/>
    </xf>
    <xf numFmtId="168" fontId="0" fillId="0" borderId="0" xfId="0" applyNumberFormat="1" applyFont="1" applyBorder="1" applyAlignment="1">
      <alignment horizontal="left" vertical="top"/>
    </xf>
    <xf numFmtId="176" fontId="0" fillId="0" borderId="1" xfId="0" applyNumberFormat="1" applyFont="1" applyBorder="1" applyAlignment="1">
      <alignment horizontal="left" vertical="top"/>
    </xf>
    <xf numFmtId="176" fontId="3" fillId="0" borderId="1" xfId="1" applyNumberFormat="1" applyFont="1" applyBorder="1" applyAlignment="1">
      <alignment horizontal="center" vertical="top" wrapText="1" readingOrder="1"/>
    </xf>
    <xf numFmtId="176" fontId="3" fillId="0" borderId="1" xfId="1" applyNumberFormat="1" applyFont="1" applyBorder="1" applyAlignment="1">
      <alignment horizontal="left" vertical="top" wrapText="1" readingOrder="1"/>
    </xf>
    <xf numFmtId="176" fontId="3" fillId="0" borderId="1" xfId="0" applyNumberFormat="1" applyFont="1" applyBorder="1" applyAlignment="1">
      <alignment horizontal="left" vertical="top" wrapText="1" readingOrder="1"/>
    </xf>
    <xf numFmtId="176" fontId="3" fillId="0" borderId="1" xfId="0" applyNumberFormat="1" applyFont="1" applyBorder="1" applyAlignment="1">
      <alignment horizontal="center" vertical="top" wrapText="1" readingOrder="1"/>
    </xf>
    <xf numFmtId="0" fontId="0" fillId="0" borderId="1" xfId="0" applyBorder="1"/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9" fontId="0" fillId="0" borderId="1" xfId="2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/>
    <xf numFmtId="0" fontId="4" fillId="0" borderId="1" xfId="0" applyFont="1" applyFill="1" applyBorder="1" applyAlignment="1">
      <alignment horizontal="center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FAF6-4F2B-4385-BB2C-67BAE2C7B932}">
  <dimension ref="A1:J16"/>
  <sheetViews>
    <sheetView topLeftCell="A2" zoomScale="137" workbookViewId="0">
      <selection activeCell="B16" sqref="B16"/>
    </sheetView>
  </sheetViews>
  <sheetFormatPr defaultRowHeight="13.8" x14ac:dyDescent="0.25"/>
  <cols>
    <col min="1" max="1" width="13.8984375" style="1" customWidth="1"/>
    <col min="2" max="6" width="11" style="1" bestFit="1" customWidth="1"/>
    <col min="7" max="16384" width="8.796875" style="1"/>
  </cols>
  <sheetData>
    <row r="1" spans="1:10" x14ac:dyDescent="0.25">
      <c r="A1" s="2" t="s">
        <v>5</v>
      </c>
      <c r="B1" s="4">
        <v>0.1</v>
      </c>
      <c r="C1" s="2"/>
      <c r="D1" s="2"/>
      <c r="E1" s="2"/>
      <c r="F1" s="2"/>
      <c r="G1" s="3"/>
      <c r="H1" s="3"/>
      <c r="I1" s="2"/>
      <c r="J1" s="4"/>
    </row>
    <row r="2" spans="1:10" x14ac:dyDescent="0.25">
      <c r="A2" s="2"/>
      <c r="B2" s="2"/>
      <c r="C2" s="2"/>
      <c r="D2" s="2"/>
      <c r="E2" s="2"/>
      <c r="F2" s="2"/>
      <c r="G2" s="3"/>
      <c r="H2" s="3"/>
      <c r="I2" s="3"/>
      <c r="J2" s="3"/>
    </row>
    <row r="3" spans="1:10" x14ac:dyDescent="0.25">
      <c r="A3" s="5" t="s">
        <v>6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3"/>
      <c r="H3" s="3"/>
      <c r="I3" s="3"/>
      <c r="J3" s="3"/>
    </row>
    <row r="4" spans="1:10" x14ac:dyDescent="0.25">
      <c r="A4" s="5" t="s">
        <v>7</v>
      </c>
      <c r="B4" s="9">
        <v>0</v>
      </c>
      <c r="C4" s="10">
        <v>2000</v>
      </c>
      <c r="D4" s="10">
        <v>3000</v>
      </c>
      <c r="E4" s="10">
        <v>4000</v>
      </c>
      <c r="F4" s="10">
        <v>5000</v>
      </c>
      <c r="G4" s="7"/>
      <c r="H4" s="3"/>
      <c r="I4" s="3"/>
      <c r="J4" s="3"/>
    </row>
    <row r="5" spans="1:10" x14ac:dyDescent="0.25">
      <c r="A5" s="5" t="s">
        <v>8</v>
      </c>
      <c r="B5" s="10">
        <v>5000</v>
      </c>
      <c r="C5" s="10">
        <v>1000</v>
      </c>
      <c r="D5" s="10">
        <v>1000</v>
      </c>
      <c r="E5" s="10">
        <v>1000</v>
      </c>
      <c r="F5" s="10">
        <v>1000</v>
      </c>
      <c r="G5" s="7"/>
      <c r="H5" s="3"/>
      <c r="I5" s="3"/>
      <c r="J5" s="3"/>
    </row>
    <row r="6" spans="1:10" x14ac:dyDescent="0.25">
      <c r="A6" s="5" t="s">
        <v>9</v>
      </c>
      <c r="B6" s="10">
        <v>-5000</v>
      </c>
      <c r="C6" s="10">
        <v>1000</v>
      </c>
      <c r="D6" s="10">
        <v>2000</v>
      </c>
      <c r="E6" s="10">
        <v>3000</v>
      </c>
      <c r="F6" s="10">
        <v>4000</v>
      </c>
      <c r="G6" s="7"/>
      <c r="H6" s="3"/>
      <c r="I6" s="3"/>
      <c r="J6" s="3"/>
    </row>
    <row r="7" spans="1:10" s="3" customFormat="1" x14ac:dyDescent="0.25">
      <c r="A7" s="5" t="s">
        <v>11</v>
      </c>
      <c r="B7" s="10">
        <f>NPV(B1,B6:F6)</f>
        <v>2316.346995672176</v>
      </c>
      <c r="C7" s="10"/>
      <c r="D7" s="10"/>
      <c r="E7" s="10"/>
      <c r="F7" s="10"/>
    </row>
    <row r="8" spans="1:10" x14ac:dyDescent="0.25">
      <c r="G8" s="3"/>
      <c r="H8" s="3"/>
      <c r="I8" s="3"/>
      <c r="J8" s="3"/>
    </row>
    <row r="9" spans="1:10" x14ac:dyDescent="0.25">
      <c r="G9" s="3"/>
      <c r="H9" s="3"/>
      <c r="I9" s="3"/>
      <c r="J9" s="3"/>
    </row>
    <row r="10" spans="1:10" x14ac:dyDescent="0.25">
      <c r="G10" s="3"/>
      <c r="H10" s="3"/>
      <c r="I10" s="3"/>
      <c r="J10" s="3"/>
    </row>
    <row r="11" spans="1:10" x14ac:dyDescent="0.25">
      <c r="G11" s="3"/>
      <c r="H11" s="3"/>
      <c r="I11" s="3"/>
      <c r="J11" s="3"/>
    </row>
    <row r="12" spans="1:10" x14ac:dyDescent="0.25">
      <c r="A12" s="5" t="s">
        <v>10</v>
      </c>
      <c r="B12" s="5" t="s">
        <v>0</v>
      </c>
      <c r="C12" s="5" t="s">
        <v>1</v>
      </c>
      <c r="D12" s="5" t="s">
        <v>2</v>
      </c>
      <c r="E12" s="5" t="s">
        <v>3</v>
      </c>
      <c r="F12" s="5" t="s">
        <v>4</v>
      </c>
      <c r="G12" s="3"/>
    </row>
    <row r="13" spans="1:10" x14ac:dyDescent="0.25">
      <c r="A13" s="5" t="s">
        <v>7</v>
      </c>
      <c r="B13" s="11">
        <v>1000</v>
      </c>
      <c r="C13" s="11">
        <v>2000</v>
      </c>
      <c r="D13" s="11">
        <v>4000</v>
      </c>
      <c r="E13" s="11">
        <v>4000</v>
      </c>
      <c r="F13" s="11">
        <v>4000</v>
      </c>
      <c r="G13" s="3"/>
    </row>
    <row r="14" spans="1:10" x14ac:dyDescent="0.25">
      <c r="A14" s="5" t="s">
        <v>8</v>
      </c>
      <c r="B14" s="11">
        <v>2000</v>
      </c>
      <c r="C14" s="11">
        <v>2000</v>
      </c>
      <c r="D14" s="11">
        <v>2000</v>
      </c>
      <c r="E14" s="11">
        <v>2000</v>
      </c>
      <c r="F14" s="11">
        <v>2000</v>
      </c>
      <c r="G14" s="3"/>
    </row>
    <row r="15" spans="1:10" x14ac:dyDescent="0.25">
      <c r="A15" s="5" t="s">
        <v>9</v>
      </c>
      <c r="B15" s="11">
        <v>-1000</v>
      </c>
      <c r="C15" s="12">
        <v>0</v>
      </c>
      <c r="D15" s="11">
        <v>2000</v>
      </c>
      <c r="E15" s="11">
        <v>2000</v>
      </c>
      <c r="F15" s="11">
        <v>2000</v>
      </c>
      <c r="G15" s="3"/>
    </row>
    <row r="16" spans="1:10" x14ac:dyDescent="0.25">
      <c r="A16" s="6" t="s">
        <v>11</v>
      </c>
      <c r="B16" s="8">
        <f>NPV(B1,B15:F15)</f>
        <v>3201.4082495606972</v>
      </c>
      <c r="C16" s="8"/>
      <c r="D16" s="8"/>
      <c r="E16" s="8"/>
      <c r="F16" s="8"/>
      <c r="G1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4051-217A-4046-8A88-7B6F31947258}">
  <dimension ref="A1:F16"/>
  <sheetViews>
    <sheetView zoomScale="130" zoomScaleNormal="130" workbookViewId="0">
      <selection activeCell="A6" sqref="A6"/>
    </sheetView>
  </sheetViews>
  <sheetFormatPr defaultRowHeight="13.8" x14ac:dyDescent="0.25"/>
  <cols>
    <col min="1" max="1" width="24.3984375" bestFit="1" customWidth="1"/>
  </cols>
  <sheetData>
    <row r="1" spans="1:6" x14ac:dyDescent="0.25">
      <c r="A1" s="15" t="s">
        <v>12</v>
      </c>
      <c r="B1" s="16">
        <v>0.08</v>
      </c>
      <c r="C1" s="17"/>
      <c r="D1" s="17"/>
      <c r="E1" s="17"/>
    </row>
    <row r="2" spans="1:6" x14ac:dyDescent="0.25">
      <c r="A2" s="17"/>
      <c r="B2" s="17"/>
      <c r="C2" s="17"/>
      <c r="D2" s="17"/>
      <c r="E2" s="17"/>
    </row>
    <row r="3" spans="1:6" x14ac:dyDescent="0.25">
      <c r="A3" s="14"/>
      <c r="B3" s="14">
        <v>0</v>
      </c>
      <c r="C3" s="14">
        <v>1</v>
      </c>
      <c r="D3" s="14">
        <v>2</v>
      </c>
      <c r="E3" s="14">
        <v>3</v>
      </c>
      <c r="F3" s="13" t="s">
        <v>20</v>
      </c>
    </row>
    <row r="4" spans="1:6" x14ac:dyDescent="0.25">
      <c r="A4" s="15" t="s">
        <v>13</v>
      </c>
      <c r="B4" s="14">
        <v>140000</v>
      </c>
      <c r="C4" s="14">
        <v>40000</v>
      </c>
      <c r="D4" s="14">
        <v>40000</v>
      </c>
      <c r="E4" s="14">
        <v>40000</v>
      </c>
      <c r="F4" s="13"/>
    </row>
    <row r="5" spans="1:6" x14ac:dyDescent="0.25">
      <c r="A5" s="15" t="s">
        <v>19</v>
      </c>
      <c r="B5" s="14">
        <v>1</v>
      </c>
      <c r="C5" s="14">
        <v>0.93</v>
      </c>
      <c r="D5" s="14">
        <v>0.86</v>
      </c>
      <c r="E5" s="14">
        <v>0.79</v>
      </c>
      <c r="F5" s="13"/>
    </row>
    <row r="6" spans="1:6" x14ac:dyDescent="0.25">
      <c r="A6" s="15" t="s">
        <v>14</v>
      </c>
      <c r="B6" s="14">
        <f>B4*B5</f>
        <v>140000</v>
      </c>
      <c r="C6" s="14">
        <f t="shared" ref="C6:E6" si="0">C4*C5</f>
        <v>37200</v>
      </c>
      <c r="D6" s="14">
        <f t="shared" si="0"/>
        <v>34400</v>
      </c>
      <c r="E6" s="14">
        <f t="shared" si="0"/>
        <v>31600</v>
      </c>
      <c r="F6" s="13">
        <f>SUM(B6:E6)</f>
        <v>243200</v>
      </c>
    </row>
    <row r="7" spans="1:6" x14ac:dyDescent="0.25">
      <c r="A7" s="15"/>
      <c r="B7" s="14"/>
      <c r="C7" s="14"/>
      <c r="D7" s="14"/>
      <c r="E7" s="14"/>
      <c r="F7" s="13"/>
    </row>
    <row r="8" spans="1:6" x14ac:dyDescent="0.25">
      <c r="A8" s="15"/>
      <c r="B8" s="14"/>
      <c r="C8" s="14"/>
      <c r="D8" s="14"/>
      <c r="E8" s="14"/>
      <c r="F8" s="13"/>
    </row>
    <row r="9" spans="1:6" x14ac:dyDescent="0.25">
      <c r="A9" s="15" t="s">
        <v>7</v>
      </c>
      <c r="B9" s="14">
        <v>0</v>
      </c>
      <c r="C9" s="14">
        <v>200000</v>
      </c>
      <c r="D9" s="14">
        <v>200000</v>
      </c>
      <c r="E9" s="14">
        <v>200000</v>
      </c>
      <c r="F9" s="13"/>
    </row>
    <row r="10" spans="1:6" x14ac:dyDescent="0.25">
      <c r="A10" s="15" t="s">
        <v>19</v>
      </c>
      <c r="B10" s="14">
        <v>1</v>
      </c>
      <c r="C10" s="14">
        <v>0.93</v>
      </c>
      <c r="D10" s="14">
        <v>0.86</v>
      </c>
      <c r="E10" s="14">
        <v>0.79</v>
      </c>
      <c r="F10" s="13"/>
    </row>
    <row r="11" spans="1:6" x14ac:dyDescent="0.25">
      <c r="A11" s="15" t="s">
        <v>15</v>
      </c>
      <c r="B11" s="14">
        <f>B9*B10</f>
        <v>0</v>
      </c>
      <c r="C11" s="14">
        <f t="shared" ref="C11:E11" si="1">C9*C10</f>
        <v>186000</v>
      </c>
      <c r="D11" s="14">
        <f t="shared" si="1"/>
        <v>172000</v>
      </c>
      <c r="E11" s="14">
        <f t="shared" si="1"/>
        <v>158000</v>
      </c>
      <c r="F11" s="13">
        <f>SUM(B11:E11)</f>
        <v>516000</v>
      </c>
    </row>
    <row r="12" spans="1:6" x14ac:dyDescent="0.25">
      <c r="A12" s="15"/>
      <c r="B12" s="14"/>
      <c r="C12" s="14"/>
      <c r="D12" s="14"/>
      <c r="E12" s="14"/>
      <c r="F12" s="13"/>
    </row>
    <row r="13" spans="1:6" x14ac:dyDescent="0.25">
      <c r="A13" s="15" t="s">
        <v>16</v>
      </c>
      <c r="B13" s="14">
        <f>B11-B6</f>
        <v>-140000</v>
      </c>
      <c r="C13" s="14">
        <f t="shared" ref="C13:E13" si="2">C11-C6</f>
        <v>148800</v>
      </c>
      <c r="D13" s="14">
        <f t="shared" si="2"/>
        <v>137600</v>
      </c>
      <c r="E13" s="14">
        <f t="shared" si="2"/>
        <v>126400</v>
      </c>
      <c r="F13" s="13"/>
    </row>
    <row r="14" spans="1:6" x14ac:dyDescent="0.25">
      <c r="A14" s="15" t="s">
        <v>17</v>
      </c>
      <c r="B14" s="14">
        <f>B13</f>
        <v>-140000</v>
      </c>
      <c r="C14" s="14">
        <f>B13+C13</f>
        <v>8800</v>
      </c>
      <c r="D14" s="14">
        <f>C14+D13</f>
        <v>146400</v>
      </c>
      <c r="E14" s="14">
        <f>D14+E13</f>
        <v>272800</v>
      </c>
      <c r="F14" s="13"/>
    </row>
    <row r="15" spans="1:6" x14ac:dyDescent="0.25">
      <c r="A15" s="15"/>
      <c r="B15" s="14"/>
      <c r="C15" s="14"/>
      <c r="D15" s="14"/>
      <c r="E15" s="14"/>
      <c r="F15" s="13"/>
    </row>
    <row r="16" spans="1:6" x14ac:dyDescent="0.25">
      <c r="A16" s="15" t="s">
        <v>18</v>
      </c>
      <c r="B16" s="18">
        <f>((F11-F6)/F6)</f>
        <v>1.1217105263157894</v>
      </c>
      <c r="C16" s="18"/>
      <c r="D16" s="18"/>
      <c r="E16" s="18"/>
      <c r="F16" s="13"/>
    </row>
  </sheetData>
  <mergeCells count="1">
    <mergeCell ref="B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07DA-CA9D-40EA-8DB7-B05C6526079A}">
  <dimension ref="A1:G5"/>
  <sheetViews>
    <sheetView zoomScale="211" workbookViewId="0">
      <selection activeCell="G15" sqref="G15"/>
    </sheetView>
  </sheetViews>
  <sheetFormatPr defaultRowHeight="13.8" x14ac:dyDescent="0.25"/>
  <cols>
    <col min="2" max="2" width="6.296875" bestFit="1" customWidth="1"/>
    <col min="3" max="3" width="7" bestFit="1" customWidth="1"/>
    <col min="4" max="4" width="8.8984375" bestFit="1" customWidth="1"/>
    <col min="5" max="5" width="10.8984375" bestFit="1" customWidth="1"/>
    <col min="7" max="7" width="23.796875" bestFit="1" customWidth="1"/>
  </cols>
  <sheetData>
    <row r="1" spans="1:7" ht="14.4" x14ac:dyDescent="0.25">
      <c r="A1" s="19" t="s">
        <v>21</v>
      </c>
      <c r="B1" s="19" t="s">
        <v>13</v>
      </c>
      <c r="C1" s="19" t="s">
        <v>7</v>
      </c>
      <c r="D1" s="19" t="s">
        <v>22</v>
      </c>
      <c r="E1" s="19" t="s">
        <v>23</v>
      </c>
      <c r="F1" s="21" t="s">
        <v>24</v>
      </c>
    </row>
    <row r="2" spans="1:7" ht="14.4" x14ac:dyDescent="0.3">
      <c r="A2" s="20">
        <v>0</v>
      </c>
      <c r="B2" s="20">
        <v>140000</v>
      </c>
      <c r="C2" s="20">
        <v>0</v>
      </c>
      <c r="D2" s="20">
        <f>B2</f>
        <v>140000</v>
      </c>
      <c r="E2" s="20">
        <f>C2</f>
        <v>0</v>
      </c>
      <c r="F2" s="13">
        <f>E2-D2</f>
        <v>-140000</v>
      </c>
    </row>
    <row r="3" spans="1:7" ht="14.4" x14ac:dyDescent="0.3">
      <c r="A3" s="20">
        <v>1</v>
      </c>
      <c r="B3" s="20">
        <v>37200</v>
      </c>
      <c r="C3" s="20">
        <v>186000</v>
      </c>
      <c r="D3" s="20">
        <f>B2+B3</f>
        <v>177200</v>
      </c>
      <c r="E3" s="20">
        <f>E2+C3</f>
        <v>186000</v>
      </c>
      <c r="F3" s="13">
        <f t="shared" ref="F3:F5" si="0">E3-D3</f>
        <v>8800</v>
      </c>
      <c r="G3" t="s">
        <v>25</v>
      </c>
    </row>
    <row r="4" spans="1:7" ht="14.4" x14ac:dyDescent="0.3">
      <c r="A4" s="20">
        <v>2</v>
      </c>
      <c r="B4" s="20">
        <v>34400</v>
      </c>
      <c r="C4" s="20">
        <v>172000</v>
      </c>
      <c r="D4" s="20">
        <f>D3+B4</f>
        <v>211600</v>
      </c>
      <c r="E4" s="20">
        <f t="shared" ref="E4:E5" si="1">E3+C4</f>
        <v>358000</v>
      </c>
      <c r="F4" s="13">
        <f t="shared" si="0"/>
        <v>146400</v>
      </c>
    </row>
    <row r="5" spans="1:7" ht="14.4" x14ac:dyDescent="0.3">
      <c r="A5" s="20">
        <v>3</v>
      </c>
      <c r="B5" s="20">
        <v>31600</v>
      </c>
      <c r="C5" s="20">
        <v>158000</v>
      </c>
      <c r="D5" s="20">
        <f>D4+B5</f>
        <v>243200</v>
      </c>
      <c r="E5" s="20">
        <f t="shared" si="1"/>
        <v>516000</v>
      </c>
      <c r="F5" s="13">
        <f t="shared" si="0"/>
        <v>272800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F144-F2E7-4815-B0A3-05B2C2955751}">
  <dimension ref="A1"/>
  <sheetViews>
    <sheetView tabSelected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Trọng Dũng</dc:creator>
  <cp:lastModifiedBy>Hoàng Trọng Dũng</cp:lastModifiedBy>
  <dcterms:created xsi:type="dcterms:W3CDTF">2025-11-10T08:38:51Z</dcterms:created>
  <dcterms:modified xsi:type="dcterms:W3CDTF">2025-11-10T10:12:18Z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2025-11-10T09:25:14Z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4310b784-a5d5-4e6c-b6e5-60f1e6704f6d</vt:lpwstr>
  </property>
  <property fmtid="{D5CDD505-2E9C-101B-9397-08002B2CF9AE}" pid="7" name="MSIP_Label_defa4170-0d19-0005-0004-bc88714345d2_ActionId">
    <vt:lpwstr>4b293359-6e7a-4403-8b9d-72897cdcd867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